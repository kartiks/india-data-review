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0" yWindow="990" windowWidth="20355" windowHeight="892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35" i="1"/>
  <c r="E37" s="1"/>
  <c r="D35"/>
  <c r="D37" s="1"/>
  <c r="C35"/>
  <c r="C37" s="1"/>
  <c r="B35"/>
  <c r="B37" s="1"/>
  <c r="E27"/>
  <c r="D27"/>
  <c r="C27"/>
  <c r="B27"/>
</calcChain>
</file>

<file path=xl/sharedStrings.xml><?xml version="1.0" encoding="utf-8"?>
<sst xmlns="http://schemas.openxmlformats.org/spreadsheetml/2006/main" count="44" uniqueCount="40">
  <si>
    <t>Receipts</t>
  </si>
  <si>
    <t>(In Rs. Crores)</t>
  </si>
  <si>
    <t>2016-2016</t>
  </si>
  <si>
    <t>2016-2017</t>
  </si>
  <si>
    <t>2017-2018</t>
  </si>
  <si>
    <t>Actuals</t>
  </si>
  <si>
    <t>Budget</t>
  </si>
  <si>
    <t>Revised</t>
  </si>
  <si>
    <t>Estimates</t>
  </si>
  <si>
    <t>REVENUE RECEIPTS</t>
  </si>
  <si>
    <t>1. Tax Revenue</t>
  </si>
  <si>
    <t>Gross Tax Revenue</t>
  </si>
  <si>
    <t xml:space="preserve">     Corporation Tax</t>
  </si>
  <si>
    <t xml:space="preserve">     Taxes on Income</t>
  </si>
  <si>
    <t xml:space="preserve">     Wealth Tax</t>
  </si>
  <si>
    <t xml:space="preserve">     Customs</t>
  </si>
  <si>
    <t xml:space="preserve">     Union Excise Duties</t>
  </si>
  <si>
    <t xml:space="preserve">     Service Tax</t>
  </si>
  <si>
    <t xml:space="preserve">     Taxes of Union Territories</t>
  </si>
  <si>
    <t>Less - NCCD transferred to the NCCF/NDRF</t>
  </si>
  <si>
    <t>Less - State's share</t>
  </si>
  <si>
    <t xml:space="preserve"> 1a Centre's Net Tax Revenue</t>
  </si>
  <si>
    <t>2. Non-Tax Revenue</t>
  </si>
  <si>
    <t xml:space="preserve">     Interest receipts</t>
  </si>
  <si>
    <t xml:space="preserve">     Dividends and Profits</t>
  </si>
  <si>
    <t xml:space="preserve">     External Grants</t>
  </si>
  <si>
    <t xml:space="preserve">     Other Non Tax Revenue</t>
  </si>
  <si>
    <t xml:space="preserve">     Receipts of Union Territories</t>
  </si>
  <si>
    <t>Total- Revenue Receipts (1a+2)</t>
  </si>
  <si>
    <t>3. CAPITAL RECEIPTS</t>
  </si>
  <si>
    <t>A. Non-debt Receipts</t>
  </si>
  <si>
    <t>(i) Recoveries of loans and advances@</t>
  </si>
  <si>
    <t>(ii) Miscellaneous Capital Receipts</t>
  </si>
  <si>
    <t>B. Debt Receipts*</t>
  </si>
  <si>
    <t>Total Capital Receipts (A+B)</t>
  </si>
  <si>
    <t>Total Receipts (1a+2+3)</t>
  </si>
  <si>
    <t>4. Draw-Down of Cash Balance</t>
  </si>
  <si>
    <t>Receipts under MSS (Net)</t>
  </si>
  <si>
    <t>@ excludes recoveries of short-term loans and advances from States, loans to Government servants etc.</t>
  </si>
  <si>
    <t>* The receipts are net of repayments and do not include receipts under Market Stabilisation Scheme</t>
  </si>
</sst>
</file>

<file path=xl/styles.xml><?xml version="1.0" encoding="utf-8"?>
<styleSheet xmlns="http://schemas.openxmlformats.org/spreadsheetml/2006/main">
  <numFmts count="1">
    <numFmt numFmtId="164" formatCode="0;\-0;...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>
      <selection sqref="A1:E1"/>
    </sheetView>
  </sheetViews>
  <sheetFormatPr defaultRowHeight="15"/>
  <cols>
    <col min="1" max="1" width="63.5703125" customWidth="1"/>
  </cols>
  <sheetData>
    <row r="1" spans="1:5">
      <c r="A1" s="1" t="s">
        <v>0</v>
      </c>
      <c r="B1" s="1"/>
      <c r="C1" s="1"/>
      <c r="D1" s="1"/>
      <c r="E1" s="1"/>
    </row>
    <row r="2" spans="1:5">
      <c r="E2" s="2" t="s">
        <v>1</v>
      </c>
    </row>
    <row r="3" spans="1:5">
      <c r="B3" t="s">
        <v>2</v>
      </c>
      <c r="C3" t="s">
        <v>3</v>
      </c>
      <c r="D3" t="s">
        <v>3</v>
      </c>
      <c r="E3" t="s">
        <v>4</v>
      </c>
    </row>
    <row r="4" spans="1:5">
      <c r="B4" t="s">
        <v>5</v>
      </c>
      <c r="C4" t="s">
        <v>6</v>
      </c>
      <c r="D4" t="s">
        <v>7</v>
      </c>
      <c r="E4" t="s">
        <v>6</v>
      </c>
    </row>
    <row r="5" spans="1:5">
      <c r="C5" t="s">
        <v>8</v>
      </c>
      <c r="D5" t="s">
        <v>8</v>
      </c>
      <c r="E5" t="s">
        <v>8</v>
      </c>
    </row>
    <row r="6" spans="1:5">
      <c r="A6" s="3" t="s">
        <v>9</v>
      </c>
    </row>
    <row r="7" spans="1:5">
      <c r="A7" s="3" t="s">
        <v>10</v>
      </c>
    </row>
    <row r="8" spans="1:5">
      <c r="A8" s="3" t="s">
        <v>11</v>
      </c>
      <c r="B8" s="3">
        <v>1455648</v>
      </c>
      <c r="C8" s="3">
        <v>1630888</v>
      </c>
      <c r="D8" s="3">
        <v>1703243</v>
      </c>
      <c r="E8" s="3">
        <v>1911579</v>
      </c>
    </row>
    <row r="9" spans="1:5">
      <c r="A9" t="s">
        <v>12</v>
      </c>
      <c r="B9">
        <v>453228</v>
      </c>
      <c r="C9">
        <v>493924</v>
      </c>
      <c r="D9">
        <v>493923</v>
      </c>
      <c r="E9">
        <v>538745</v>
      </c>
    </row>
    <row r="10" spans="1:5">
      <c r="A10" t="s">
        <v>13</v>
      </c>
      <c r="B10">
        <v>287637</v>
      </c>
      <c r="C10">
        <v>353174</v>
      </c>
      <c r="D10">
        <v>353174</v>
      </c>
      <c r="E10">
        <v>441255</v>
      </c>
    </row>
    <row r="11" spans="1:5">
      <c r="A11" t="s">
        <v>14</v>
      </c>
      <c r="B11">
        <v>1080</v>
      </c>
      <c r="C11" s="4">
        <v>0</v>
      </c>
      <c r="D11" s="4">
        <v>0</v>
      </c>
      <c r="E11" s="4">
        <v>0</v>
      </c>
    </row>
    <row r="12" spans="1:5">
      <c r="A12" t="s">
        <v>15</v>
      </c>
      <c r="B12">
        <v>210338</v>
      </c>
      <c r="C12">
        <v>230000</v>
      </c>
      <c r="D12">
        <v>217000</v>
      </c>
      <c r="E12">
        <v>245000</v>
      </c>
    </row>
    <row r="13" spans="1:5">
      <c r="A13" t="s">
        <v>16</v>
      </c>
      <c r="B13">
        <v>288073</v>
      </c>
      <c r="C13">
        <v>318669</v>
      </c>
      <c r="D13">
        <v>387369</v>
      </c>
      <c r="E13">
        <v>406900</v>
      </c>
    </row>
    <row r="14" spans="1:5">
      <c r="A14" t="s">
        <v>17</v>
      </c>
      <c r="B14">
        <v>211414</v>
      </c>
      <c r="C14">
        <v>231000</v>
      </c>
      <c r="D14">
        <v>247500</v>
      </c>
      <c r="E14">
        <v>275000</v>
      </c>
    </row>
    <row r="15" spans="1:5">
      <c r="A15" t="s">
        <v>18</v>
      </c>
      <c r="B15">
        <v>3878</v>
      </c>
      <c r="C15">
        <v>4121</v>
      </c>
      <c r="D15">
        <v>4277</v>
      </c>
      <c r="E15">
        <v>4679</v>
      </c>
    </row>
    <row r="16" spans="1:5" s="3" customFormat="1">
      <c r="A16" s="3" t="s">
        <v>19</v>
      </c>
      <c r="B16" s="3">
        <v>5690</v>
      </c>
      <c r="C16" s="3">
        <v>6450</v>
      </c>
      <c r="D16" s="3">
        <v>6450</v>
      </c>
      <c r="E16" s="3">
        <v>10000</v>
      </c>
    </row>
    <row r="17" spans="1:5" s="3" customFormat="1">
      <c r="A17" s="3" t="s">
        <v>20</v>
      </c>
      <c r="B17" s="3">
        <v>506193</v>
      </c>
      <c r="C17" s="3">
        <v>570337</v>
      </c>
      <c r="D17" s="3">
        <v>608000</v>
      </c>
      <c r="E17" s="3">
        <v>674565</v>
      </c>
    </row>
    <row r="18" spans="1:5" s="3" customFormat="1">
      <c r="A18" s="3" t="s">
        <v>21</v>
      </c>
      <c r="B18" s="3">
        <v>943765</v>
      </c>
      <c r="C18" s="3">
        <v>1054101</v>
      </c>
      <c r="D18" s="3">
        <v>1088793</v>
      </c>
      <c r="E18" s="3">
        <v>1227014</v>
      </c>
    </row>
    <row r="19" spans="1:5" s="3" customFormat="1"/>
    <row r="20" spans="1:5" s="3" customFormat="1">
      <c r="A20" s="3" t="s">
        <v>22</v>
      </c>
      <c r="B20" s="3">
        <v>251260</v>
      </c>
      <c r="C20" s="3">
        <v>322921</v>
      </c>
      <c r="D20" s="3">
        <v>334770</v>
      </c>
      <c r="E20" s="3">
        <v>288757</v>
      </c>
    </row>
    <row r="21" spans="1:5">
      <c r="A21" t="s">
        <v>23</v>
      </c>
      <c r="B21">
        <v>25378</v>
      </c>
      <c r="C21">
        <v>29621</v>
      </c>
      <c r="D21">
        <v>18149</v>
      </c>
      <c r="E21">
        <v>19021</v>
      </c>
    </row>
    <row r="22" spans="1:5">
      <c r="A22" t="s">
        <v>24</v>
      </c>
      <c r="B22">
        <v>112127</v>
      </c>
      <c r="C22">
        <v>123780</v>
      </c>
      <c r="D22">
        <v>153222</v>
      </c>
      <c r="E22">
        <v>142430</v>
      </c>
    </row>
    <row r="23" spans="1:5">
      <c r="A23" t="s">
        <v>25</v>
      </c>
      <c r="B23">
        <v>1881</v>
      </c>
      <c r="C23">
        <v>2862</v>
      </c>
      <c r="D23">
        <v>2882</v>
      </c>
      <c r="E23">
        <v>3060</v>
      </c>
    </row>
    <row r="24" spans="1:5">
      <c r="A24" t="s">
        <v>26</v>
      </c>
      <c r="B24">
        <v>110336</v>
      </c>
      <c r="C24">
        <v>165319</v>
      </c>
      <c r="D24">
        <v>159115</v>
      </c>
      <c r="E24">
        <v>122728</v>
      </c>
    </row>
    <row r="25" spans="1:5">
      <c r="A25" t="s">
        <v>27</v>
      </c>
      <c r="B25">
        <v>1538</v>
      </c>
      <c r="C25">
        <v>1339</v>
      </c>
      <c r="D25">
        <v>1402</v>
      </c>
      <c r="E25">
        <v>1518</v>
      </c>
    </row>
    <row r="27" spans="1:5" s="3" customFormat="1">
      <c r="A27" s="3" t="s">
        <v>28</v>
      </c>
      <c r="B27" s="3">
        <f t="shared" ref="B27:E27" si="0">B18+B20</f>
        <v>1195025</v>
      </c>
      <c r="C27" s="3">
        <f t="shared" si="0"/>
        <v>1377022</v>
      </c>
      <c r="D27" s="3">
        <f t="shared" si="0"/>
        <v>1423563</v>
      </c>
      <c r="E27" s="3">
        <f t="shared" si="0"/>
        <v>1515771</v>
      </c>
    </row>
    <row r="28" spans="1:5" s="3" customFormat="1"/>
    <row r="29" spans="1:5">
      <c r="A29" s="3" t="s">
        <v>29</v>
      </c>
      <c r="B29" s="4"/>
      <c r="C29" s="4"/>
      <c r="D29" s="4"/>
      <c r="E29" s="4"/>
    </row>
    <row r="30" spans="1:5">
      <c r="A30" s="3" t="s">
        <v>30</v>
      </c>
      <c r="B30" s="4"/>
      <c r="C30" s="4"/>
      <c r="D30" s="4"/>
      <c r="E30" s="4"/>
    </row>
    <row r="31" spans="1:5">
      <c r="A31" t="s">
        <v>31</v>
      </c>
      <c r="B31">
        <v>20835</v>
      </c>
      <c r="C31">
        <v>10634</v>
      </c>
      <c r="D31">
        <v>11071</v>
      </c>
      <c r="E31">
        <v>11933</v>
      </c>
    </row>
    <row r="32" spans="1:5">
      <c r="A32" t="s">
        <v>32</v>
      </c>
      <c r="B32">
        <v>42132</v>
      </c>
      <c r="C32">
        <v>56500</v>
      </c>
      <c r="D32">
        <v>45500</v>
      </c>
      <c r="E32">
        <v>72500</v>
      </c>
    </row>
    <row r="34" spans="1:5">
      <c r="A34" s="3" t="s">
        <v>33</v>
      </c>
      <c r="B34" s="3">
        <v>532791</v>
      </c>
      <c r="C34" s="3">
        <v>533904</v>
      </c>
      <c r="D34" s="3">
        <v>534273</v>
      </c>
      <c r="E34" s="3">
        <v>546531</v>
      </c>
    </row>
    <row r="35" spans="1:5">
      <c r="A35" s="3" t="s">
        <v>34</v>
      </c>
      <c r="B35" s="3">
        <f t="shared" ref="B35:E35" si="1">SUM(B31:B34)</f>
        <v>595758</v>
      </c>
      <c r="C35" s="3">
        <f t="shared" si="1"/>
        <v>601038</v>
      </c>
      <c r="D35" s="3">
        <f t="shared" si="1"/>
        <v>590844</v>
      </c>
      <c r="E35" s="3">
        <f t="shared" si="1"/>
        <v>630964</v>
      </c>
    </row>
    <row r="36" spans="1:5">
      <c r="A36" s="3"/>
      <c r="B36" s="3"/>
      <c r="C36" s="3"/>
      <c r="D36" s="3"/>
      <c r="E36" s="3"/>
    </row>
    <row r="37" spans="1:5" s="3" customFormat="1">
      <c r="A37" s="3" t="s">
        <v>35</v>
      </c>
      <c r="B37" s="3">
        <f t="shared" ref="B37:E37" si="2">B18+B20+B35</f>
        <v>1790783</v>
      </c>
      <c r="C37" s="3">
        <f t="shared" si="2"/>
        <v>1978060</v>
      </c>
      <c r="D37" s="3">
        <f t="shared" si="2"/>
        <v>2014407</v>
      </c>
      <c r="E37" s="3">
        <f t="shared" si="2"/>
        <v>2146735</v>
      </c>
    </row>
    <row r="38" spans="1:5" s="3" customFormat="1"/>
    <row r="39" spans="1:5">
      <c r="A39" s="3" t="s">
        <v>36</v>
      </c>
      <c r="B39" s="3">
        <v>13170</v>
      </c>
      <c r="C39" s="3">
        <v>13195</v>
      </c>
      <c r="D39" s="3">
        <v>40227</v>
      </c>
      <c r="E39" s="3">
        <v>12844</v>
      </c>
    </row>
    <row r="40" spans="1:5">
      <c r="A40" s="3" t="s">
        <v>37</v>
      </c>
      <c r="B40" s="5">
        <v>0</v>
      </c>
      <c r="C40" s="3">
        <v>20000</v>
      </c>
      <c r="D40" s="5">
        <v>0</v>
      </c>
      <c r="E40" s="5">
        <v>0</v>
      </c>
    </row>
    <row r="41" spans="1:5">
      <c r="A41" s="3"/>
      <c r="B41" s="5"/>
      <c r="C41" s="3"/>
      <c r="D41" s="5"/>
      <c r="E41" s="5"/>
    </row>
    <row r="42" spans="1:5">
      <c r="A42" t="s">
        <v>38</v>
      </c>
    </row>
    <row r="43" spans="1:5">
      <c r="A43" s="6" t="s">
        <v>39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Hcl</dc:creator>
  <cp:lastModifiedBy>Hcl</cp:lastModifiedBy>
  <dcterms:created xsi:type="dcterms:W3CDTF">2017-02-01T11:25:12Z</dcterms:created>
  <dcterms:modified xsi:type="dcterms:W3CDTF">2017-02-01T11:26:25Z</dcterms:modified>
</cp:coreProperties>
</file>